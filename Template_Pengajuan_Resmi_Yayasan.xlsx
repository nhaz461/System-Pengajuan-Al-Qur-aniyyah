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engajuan Anggaran" state="visible" r:id="rId4"/>
  </sheets>
  <calcPr calcId="171027"/>
</workbook>
</file>

<file path=xl/sharedStrings.xml><?xml version="1.0" encoding="utf-8"?>
<sst xmlns="http://schemas.openxmlformats.org/spreadsheetml/2006/main" count="213" uniqueCount="96">
  <si>
    <t>YAYASAN PENDIDIKAN ISLAM PONDOK PESANTREN AL-QUR'ANIYYAH</t>
  </si>
  <si>
    <t>FORMAT USULAN RENCANA ANGGARAN BELANJA (RAB) UNIT</t>
  </si>
  <si>
    <t>Unit Pemohon:</t>
  </si>
  <si>
    <t>SMA IT Al-Qur'aniyyah</t>
  </si>
  <si>
    <t>Nama Kegiatan:</t>
  </si>
  <si>
    <t>Ujian Satuan Pendidikan &amp; TKA</t>
  </si>
  <si>
    <t>Tahun Anggaran:</t>
  </si>
  <si>
    <t>NO</t>
  </si>
  <si>
    <t>URAIAN KEGIATAN</t>
  </si>
  <si>
    <t>BIAYA</t>
  </si>
  <si>
    <t>RINCIAN</t>
  </si>
  <si>
    <t>JUMLAH</t>
  </si>
  <si>
    <t>TOTAL</t>
  </si>
  <si>
    <t>Vol 1</t>
  </si>
  <si>
    <t>Satuan 1</t>
  </si>
  <si>
    <t>x</t>
  </si>
  <si>
    <t>Vol 2</t>
  </si>
  <si>
    <t>Satuan 2</t>
  </si>
  <si>
    <t>Vol 3</t>
  </si>
  <si>
    <t>Satuan 3</t>
  </si>
  <si>
    <t>I</t>
  </si>
  <si>
    <t>ANGGARAN DANA TKA</t>
  </si>
  <si>
    <t>1.</t>
  </si>
  <si>
    <t>Pengadaan modul/panduan/foto copy (102 siswa + 9 guru + arsip 1)</t>
  </si>
  <si>
    <t>buah</t>
  </si>
  <si>
    <t>paket</t>
  </si>
  <si>
    <t>2.</t>
  </si>
  <si>
    <t>Insentif &amp; transport guru pembina PM</t>
  </si>
  <si>
    <t>mapel</t>
  </si>
  <si>
    <t>pertemuan</t>
  </si>
  <si>
    <t>bulan</t>
  </si>
  <si>
    <t>3.</t>
  </si>
  <si>
    <t>Insentif panitia (Kepsek, Wakil, TU, Proktor, Operator, 3 Walas, OB)</t>
  </si>
  <si>
    <t>orang</t>
  </si>
  <si>
    <t>kegiatan</t>
  </si>
  <si>
    <t>hari</t>
  </si>
  <si>
    <t>4.</t>
  </si>
  <si>
    <t>Konsumsi Pelaksanaan TKA</t>
  </si>
  <si>
    <t>org</t>
  </si>
  <si>
    <t>5.</t>
  </si>
  <si>
    <t>Honor Pengawas Silang</t>
  </si>
  <si>
    <t>sesi</t>
  </si>
  <si>
    <t>6.</t>
  </si>
  <si>
    <t>Transport Pengawas Silang</t>
  </si>
  <si>
    <t>7.</t>
  </si>
  <si>
    <t>Transport Monitoring Dinas</t>
  </si>
  <si>
    <t>Org</t>
  </si>
  <si>
    <t>8.</t>
  </si>
  <si>
    <t>Konsumsi Monitoring Dinas</t>
  </si>
  <si>
    <t>II</t>
  </si>
  <si>
    <t>PELAKSANAAN UJIAN SATUAN PENDIDIKAN</t>
  </si>
  <si>
    <t>Insentif ujian praktik</t>
  </si>
  <si>
    <t>siswa</t>
  </si>
  <si>
    <t>penyusunan kartu soal ujian dan kisi-kisi</t>
  </si>
  <si>
    <t>Penyusunan naskah dan pengetikan soal (Ujian Tulis)</t>
  </si>
  <si>
    <t>Penggandaan soal</t>
  </si>
  <si>
    <t>lembar</t>
  </si>
  <si>
    <t>Insentif pengawas ruang USP</t>
  </si>
  <si>
    <t>ruang</t>
  </si>
  <si>
    <t>Insentif korektor soal USP</t>
  </si>
  <si>
    <t>korektor</t>
  </si>
  <si>
    <t>Transport korektor soal USP</t>
  </si>
  <si>
    <t>Transport monitoring Dinas</t>
  </si>
  <si>
    <t>9.</t>
  </si>
  <si>
    <t>Transport rapat panitia, pengawas, dan guru</t>
  </si>
  <si>
    <t>10.</t>
  </si>
  <si>
    <t>Insentif panitia US (Ketua, 3 walas, 2 wakasek, Sekretaris, Bendahara, TU, OB)</t>
  </si>
  <si>
    <t>11. a).</t>
  </si>
  <si>
    <t>Konsumsi: Saat ujian (Pengawas 8 orang dan panitia 6 orang)</t>
  </si>
  <si>
    <t>11. b).</t>
  </si>
  <si>
    <t>Konsumsi: Koreksi ujian</t>
  </si>
  <si>
    <t>11. c).</t>
  </si>
  <si>
    <t>Konsumsi: Konsumsi rapat</t>
  </si>
  <si>
    <t>11. d).</t>
  </si>
  <si>
    <t>Konsumsi: konsumsi rapat kelulusan</t>
  </si>
  <si>
    <t>guru</t>
  </si>
  <si>
    <t>III</t>
  </si>
  <si>
    <t>KESEKRETARIATAN</t>
  </si>
  <si>
    <t>Pembuatan lebel/kartu (siswa 102)</t>
  </si>
  <si>
    <t>Pembelian plastik lebel</t>
  </si>
  <si>
    <t>Penyusunan program dan laporan</t>
  </si>
  <si>
    <t>bundel</t>
  </si>
  <si>
    <t>Pembuatan spanduk</t>
  </si>
  <si>
    <t>Cetak blanko Ijazah</t>
  </si>
  <si>
    <t>Tanda tangan Ijazah</t>
  </si>
  <si>
    <t>Pas Foto</t>
  </si>
  <si>
    <t>Pembelian 1 set perlengkapan USP</t>
  </si>
  <si>
    <t>sampul/map transparan untuk ijazah</t>
  </si>
  <si>
    <t>Penandatanganan USP 1 ( Pengawas )</t>
  </si>
  <si>
    <t>11.</t>
  </si>
  <si>
    <t>Amplop Soal, lem, steples, map, lebel dll (ATK)</t>
  </si>
  <si>
    <t>IV</t>
  </si>
  <si>
    <t>PENGELOLAAN DATA, NILAI RAPORT KE PERGURUAN TINGGI</t>
  </si>
  <si>
    <t>Pengumpulan berkas dan data siswa (print out, foto copy &amp; jilid)</t>
  </si>
  <si>
    <t>pengolahan dan penginputan data &amp; nilai ke PDSS (oleh Walas &amp; Ops)</t>
  </si>
  <si>
    <t>TOTAL USULAN KESELURUHAN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</si>
</sst>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p &quot;#,##0"/>
  </numFmts>
  <fonts count="10" x14ac:knownFonts="1">
    <font>
      <color theme="1"/>
      <family val="2"/>
      <scheme val="minor"/>
      <sz val="11"/>
      <name val="Calibri"/>
    </font>
    <font>
      <b/>
      <color rgb="FF1E3A8A"/>
      <sz val="13"/>
      <name val="Arial"/>
    </font>
    <font>
      <b/>
      <color rgb="FF374151"/>
      <sz val="11"/>
      <name val="Arial"/>
    </font>
    <font>
      <b/>
      <sz val="10"/>
    </font>
    <font>
      <sz val="10"/>
    </font>
    <font>
      <b/>
      <color rgb="FF111827"/>
      <sz val="9"/>
      <name val="Arial"/>
    </font>
    <font>
      <b/>
      <sz val="9"/>
      <name val="Arial"/>
    </font>
    <font>
      <sz val="9"/>
      <name val="Arial"/>
    </font>
    <font>
      <b/>
      <sz val="10"/>
      <name val="Arial"/>
    </font>
    <font>
      <b/>
      <color rgb="FF1E3A8A"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F3F4F6"/>
      </patternFill>
    </fill>
  </fills>
  <borders count="5">
    <border>
      <left/>
      <right/>
      <top/>
      <bottom/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>
      <left style="thin">
        <color rgb="FFD1D5DB"/>
      </left>
      <right style="thin">
        <color rgb="FFD1D5DB"/>
      </right>
      <top style="thin">
        <color rgb="FF9CA3AF"/>
      </top>
      <bottom style="thin">
        <color rgb="FF9CA3AF"/>
      </bottom>
      <diagonal/>
    </border>
    <border>
      <left style="thin">
        <color rgb="FFD1D5DB"/>
      </left>
      <right style="thin">
        <color rgb="FFD1D5DB"/>
      </right>
      <top style="hair">
        <color rgb="FFE5E7EB"/>
      </top>
      <bottom style="hair">
        <color rgb="FFE5E7EB"/>
      </bottom>
      <diagonal/>
    </border>
    <border>
      <left style="thin">
        <color rgb="FF9CA3AF"/>
      </left>
      <right style="thin">
        <color rgb="FF9CA3AF"/>
      </right>
      <top style="medium">
        <color rgb="FF1F2937"/>
      </top>
      <bottom style="double">
        <color rgb="FF1F293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6" fillId="0" borderId="2" xfId="0" applyFont="1" applyBorder="1"/>
    <xf numFmtId="0" fontId="0" fillId="0" borderId="2" xfId="0" applyBorder="1"/>
    <xf numFmtId="164" fontId="6" fillId="0" borderId="2" xfId="0" applyNumberFormat="1" applyFont="1" applyBorder="1" applyAlignment="1">
      <alignment horizontal="right"/>
    </xf>
    <xf numFmtId="0" fontId="7" fillId="0" borderId="3" xfId="0" applyFont="1" applyBorder="1" applyAlignment="1">
      <alignment horizontal="center"/>
    </xf>
    <xf numFmtId="0" fontId="7" fillId="0" borderId="3" xfId="0" applyFont="1" applyBorder="1"/>
    <xf numFmtId="164" fontId="7" fillId="0" borderId="3" xfId="0" applyNumberFormat="1" applyFont="1" applyBorder="1" applyAlignment="1">
      <alignment horizontal="right"/>
    </xf>
    <xf numFmtId="0" fontId="8" fillId="2" borderId="4" xfId="0" applyFont="1" applyFill="1" applyBorder="1" applyAlignment="1">
      <alignment horizontal="right" vertical="center"/>
    </xf>
    <xf numFmtId="164" fontId="9" fillId="2" borderId="4" xfId="0" applyNumberFormat="1" applyFont="1" applyFill="1" applyBorder="1" applyAlignment="1">
      <alignment horizontal="right" vertical="center"/>
    </xf>
    <xf numFmtId="0" fontId="0" fillId="2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2:M50"/>
  <sheetFormatPr defaultRowHeight="15" outlineLevelRow="0" outlineLevelCol="0" x14ac:dyDescent="55"/>
  <cols>
    <col min="1" max="1" width="6" customWidth="1"/>
    <col min="2" max="2" width="44" customWidth="1"/>
    <col min="3" max="3" width="16" customWidth="1"/>
    <col min="4" max="4" width="8" customWidth="1"/>
    <col min="5" max="5" width="12" customWidth="1"/>
    <col min="6" max="6" width="4" customWidth="1"/>
    <col min="7" max="7" width="8" customWidth="1"/>
    <col min="8" max="8" width="14" customWidth="1"/>
    <col min="9" max="9" width="4" customWidth="1"/>
    <col min="10" max="10" width="8" customWidth="1"/>
    <col min="11" max="11" width="12" customWidth="1"/>
    <col min="12" max="13" width="18" customWidth="1"/>
  </cols>
  <sheetData>
    <row r="2" spans="1:13" x14ac:dyDescent="0.25">
      <c r="A2" s="1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x14ac:dyDescent="0.25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spans="2:3" x14ac:dyDescent="0.25">
      <c r="B5" s="3" t="s">
        <v>2</v>
      </c>
      <c r="C5" s="4" t="s">
        <v>3</v>
      </c>
    </row>
    <row r="6" spans="2:3" x14ac:dyDescent="0.25">
      <c r="B6" s="3" t="s">
        <v>4</v>
      </c>
      <c r="C6" s="4" t="s">
        <v>5</v>
      </c>
    </row>
    <row r="7" spans="2:3" x14ac:dyDescent="0.25">
      <c r="B7" s="3" t="s">
        <v>6</v>
      </c>
      <c r="C7" s="4">
        <v>2026</v>
      </c>
    </row>
    <row r="9" ht="24" customHeight="1" spans="1:13" x14ac:dyDescent="0.25">
      <c r="A9" s="5" t="s">
        <v>7</v>
      </c>
      <c r="B9" s="5" t="s">
        <v>8</v>
      </c>
      <c r="C9" s="5" t="s">
        <v>9</v>
      </c>
      <c r="D9" s="5" t="s">
        <v>10</v>
      </c>
      <c r="E9" s="5"/>
      <c r="F9" s="5"/>
      <c r="G9" s="5"/>
      <c r="H9" s="5"/>
      <c r="I9" s="5"/>
      <c r="J9" s="5"/>
      <c r="K9" s="5"/>
      <c r="L9" s="5" t="s">
        <v>11</v>
      </c>
      <c r="M9" s="5" t="s">
        <v>12</v>
      </c>
    </row>
    <row r="10" spans="1:13" x14ac:dyDescent="0.25">
      <c r="A10" s="5"/>
      <c r="B10" s="5"/>
      <c r="C10" s="5"/>
      <c r="D10" s="5" t="s">
        <v>13</v>
      </c>
      <c r="E10" s="5" t="s">
        <v>14</v>
      </c>
      <c r="F10" s="5" t="s">
        <v>15</v>
      </c>
      <c r="G10" s="5" t="s">
        <v>16</v>
      </c>
      <c r="H10" s="5" t="s">
        <v>17</v>
      </c>
      <c r="I10" s="5" t="s">
        <v>15</v>
      </c>
      <c r="J10" s="5" t="s">
        <v>18</v>
      </c>
      <c r="K10" s="5" t="s">
        <v>19</v>
      </c>
      <c r="L10" s="5"/>
      <c r="M10" s="5"/>
    </row>
    <row r="11" spans="1:13" x14ac:dyDescent="0.25">
      <c r="A11" s="6" t="s">
        <v>20</v>
      </c>
      <c r="B11" s="7" t="s">
        <v>21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9">
        <f>=SUM(L12:L19)</f>
      </c>
    </row>
    <row r="12" spans="1:13" x14ac:dyDescent="0.25">
      <c r="A12" s="10" t="s">
        <v>22</v>
      </c>
      <c r="B12" s="11" t="s">
        <v>23</v>
      </c>
      <c r="C12" s="12">
        <v>25000</v>
      </c>
      <c r="D12" s="10">
        <v>102</v>
      </c>
      <c r="E12" s="11" t="s">
        <v>24</v>
      </c>
      <c r="F12" s="10" t="s">
        <v>15</v>
      </c>
      <c r="G12" s="10">
        <v>5</v>
      </c>
      <c r="H12" s="11" t="s">
        <v>25</v>
      </c>
      <c r="I12" s="10"/>
      <c r="J12" s="10"/>
      <c r="K12" s="11"/>
      <c r="L12" s="12">
        <f>=C12*D12*IF(G12&gt;0,G12,1)*IF(J12&gt;0,J12,1)</f>
      </c>
      <c r="M12" s="11"/>
    </row>
    <row r="13" spans="1:13" x14ac:dyDescent="0.25">
      <c r="A13" s="10" t="s">
        <v>26</v>
      </c>
      <c r="B13" s="11" t="s">
        <v>27</v>
      </c>
      <c r="C13" s="12">
        <v>150000</v>
      </c>
      <c r="D13" s="10">
        <v>9</v>
      </c>
      <c r="E13" s="11" t="s">
        <v>28</v>
      </c>
      <c r="F13" s="10" t="s">
        <v>15</v>
      </c>
      <c r="G13" s="10">
        <v>8</v>
      </c>
      <c r="H13" s="11" t="s">
        <v>29</v>
      </c>
      <c r="I13" s="10" t="s">
        <v>15</v>
      </c>
      <c r="J13" s="10">
        <v>1</v>
      </c>
      <c r="K13" s="11" t="s">
        <v>30</v>
      </c>
      <c r="L13" s="12">
        <f>=C13*D13*IF(G13&gt;0,G13,1)*IF(J13&gt;0,J13,1)</f>
      </c>
      <c r="M13" s="11"/>
    </row>
    <row r="14" spans="1:13" x14ac:dyDescent="0.25">
      <c r="A14" s="10" t="s">
        <v>31</v>
      </c>
      <c r="B14" s="11" t="s">
        <v>32</v>
      </c>
      <c r="C14" s="12">
        <v>75000</v>
      </c>
      <c r="D14" s="10">
        <v>10</v>
      </c>
      <c r="E14" s="11" t="s">
        <v>33</v>
      </c>
      <c r="F14" s="10" t="s">
        <v>15</v>
      </c>
      <c r="G14" s="10">
        <v>1</v>
      </c>
      <c r="H14" s="11" t="s">
        <v>34</v>
      </c>
      <c r="I14" s="10" t="s">
        <v>15</v>
      </c>
      <c r="J14" s="10">
        <v>13</v>
      </c>
      <c r="K14" s="11" t="s">
        <v>35</v>
      </c>
      <c r="L14" s="12">
        <f>=C14*D14*IF(G14&gt;0,G14,1)*IF(J14&gt;0,J14,1)</f>
      </c>
      <c r="M14" s="11"/>
    </row>
    <row r="15" spans="1:13" x14ac:dyDescent="0.25">
      <c r="A15" s="10" t="s">
        <v>36</v>
      </c>
      <c r="B15" s="11" t="s">
        <v>37</v>
      </c>
      <c r="C15" s="12">
        <v>50000</v>
      </c>
      <c r="D15" s="10">
        <v>4</v>
      </c>
      <c r="E15" s="11" t="s">
        <v>35</v>
      </c>
      <c r="F15" s="10" t="s">
        <v>15</v>
      </c>
      <c r="G15" s="10">
        <v>12</v>
      </c>
      <c r="H15" s="11" t="s">
        <v>38</v>
      </c>
      <c r="I15" s="10"/>
      <c r="J15" s="10"/>
      <c r="K15" s="11"/>
      <c r="L15" s="12">
        <f>=C15*D15*IF(G15&gt;0,G15,1)*IF(J15&gt;0,J15,1)</f>
      </c>
      <c r="M15" s="11"/>
    </row>
    <row r="16" spans="1:13" x14ac:dyDescent="0.25">
      <c r="A16" s="10" t="s">
        <v>39</v>
      </c>
      <c r="B16" s="11" t="s">
        <v>40</v>
      </c>
      <c r="C16" s="12">
        <v>50000</v>
      </c>
      <c r="D16" s="10">
        <v>4</v>
      </c>
      <c r="E16" s="11" t="s">
        <v>35</v>
      </c>
      <c r="F16" s="10" t="s">
        <v>15</v>
      </c>
      <c r="G16" s="10">
        <v>2</v>
      </c>
      <c r="H16" s="11" t="s">
        <v>38</v>
      </c>
      <c r="I16" s="10" t="s">
        <v>15</v>
      </c>
      <c r="J16" s="10">
        <v>3</v>
      </c>
      <c r="K16" s="11" t="s">
        <v>41</v>
      </c>
      <c r="L16" s="12">
        <f>=C16*D16*IF(G16&gt;0,G16,1)*IF(J16&gt;0,J16,1)</f>
      </c>
      <c r="M16" s="11"/>
    </row>
    <row r="17" spans="1:13" x14ac:dyDescent="0.25">
      <c r="A17" s="10" t="s">
        <v>42</v>
      </c>
      <c r="B17" s="11" t="s">
        <v>43</v>
      </c>
      <c r="C17" s="12">
        <v>50000</v>
      </c>
      <c r="D17" s="10">
        <v>4</v>
      </c>
      <c r="E17" s="11" t="s">
        <v>35</v>
      </c>
      <c r="F17" s="10" t="s">
        <v>15</v>
      </c>
      <c r="G17" s="10">
        <v>2</v>
      </c>
      <c r="H17" s="11" t="s">
        <v>38</v>
      </c>
      <c r="I17" s="10"/>
      <c r="J17" s="10"/>
      <c r="K17" s="11"/>
      <c r="L17" s="12">
        <f>=C17*D17*IF(G17&gt;0,G17,1)*IF(J17&gt;0,J17,1)</f>
      </c>
      <c r="M17" s="11"/>
    </row>
    <row r="18" spans="1:13" x14ac:dyDescent="0.25">
      <c r="A18" s="10" t="s">
        <v>44</v>
      </c>
      <c r="B18" s="11" t="s">
        <v>45</v>
      </c>
      <c r="C18" s="12">
        <v>500000</v>
      </c>
      <c r="D18" s="10">
        <v>3</v>
      </c>
      <c r="E18" s="11" t="s">
        <v>46</v>
      </c>
      <c r="F18" s="10" t="s">
        <v>15</v>
      </c>
      <c r="G18" s="10">
        <v>1</v>
      </c>
      <c r="H18" s="11" t="s">
        <v>29</v>
      </c>
      <c r="I18" s="10"/>
      <c r="J18" s="10"/>
      <c r="K18" s="11"/>
      <c r="L18" s="12">
        <f>=C18*D18*IF(G18&gt;0,G18,1)*IF(J18&gt;0,J18,1)</f>
      </c>
      <c r="M18" s="11"/>
    </row>
    <row r="19" spans="1:13" x14ac:dyDescent="0.25">
      <c r="A19" s="10" t="s">
        <v>47</v>
      </c>
      <c r="B19" s="11" t="s">
        <v>48</v>
      </c>
      <c r="C19" s="12">
        <v>100000</v>
      </c>
      <c r="D19" s="10">
        <v>3</v>
      </c>
      <c r="E19" s="11" t="s">
        <v>46</v>
      </c>
      <c r="F19" s="10"/>
      <c r="G19" s="10"/>
      <c r="H19" s="11"/>
      <c r="I19" s="10"/>
      <c r="J19" s="10"/>
      <c r="K19" s="11"/>
      <c r="L19" s="12">
        <f>=C19*D19*IF(G19&gt;0,G19,1)*IF(J19&gt;0,J19,1)</f>
      </c>
      <c r="M19" s="11"/>
    </row>
    <row r="20" spans="1:13" x14ac:dyDescent="0.25">
      <c r="A20" s="6" t="s">
        <v>49</v>
      </c>
      <c r="B20" s="7" t="s">
        <v>50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9">
        <f>=SUM(L21:L34)</f>
      </c>
    </row>
    <row r="21" spans="1:13" x14ac:dyDescent="0.25">
      <c r="A21" s="10" t="s">
        <v>22</v>
      </c>
      <c r="B21" s="11" t="s">
        <v>51</v>
      </c>
      <c r="C21" s="12">
        <v>10000</v>
      </c>
      <c r="D21" s="10">
        <v>13</v>
      </c>
      <c r="E21" s="11" t="s">
        <v>28</v>
      </c>
      <c r="F21" s="10" t="s">
        <v>15</v>
      </c>
      <c r="G21" s="10">
        <v>102</v>
      </c>
      <c r="H21" s="11" t="s">
        <v>52</v>
      </c>
      <c r="I21" s="10"/>
      <c r="J21" s="10"/>
      <c r="K21" s="11"/>
      <c r="L21" s="12">
        <f>=C21*D21*IF(G21&gt;0,G21,1)*IF(J21&gt;0,J21,1)</f>
      </c>
      <c r="M21" s="11"/>
    </row>
    <row r="22" spans="1:13" x14ac:dyDescent="0.25">
      <c r="A22" s="10" t="s">
        <v>26</v>
      </c>
      <c r="B22" s="11" t="s">
        <v>53</v>
      </c>
      <c r="C22" s="12">
        <v>75000</v>
      </c>
      <c r="D22" s="10">
        <v>17</v>
      </c>
      <c r="E22" s="11" t="s">
        <v>28</v>
      </c>
      <c r="F22" s="10" t="s">
        <v>15</v>
      </c>
      <c r="G22" s="10">
        <v>2</v>
      </c>
      <c r="H22" s="11" t="s">
        <v>25</v>
      </c>
      <c r="I22" s="10"/>
      <c r="J22" s="10"/>
      <c r="K22" s="11"/>
      <c r="L22" s="12">
        <f>=C22*D22*IF(G22&gt;0,G22,1)*IF(J22&gt;0,J22,1)</f>
      </c>
      <c r="M22" s="11"/>
    </row>
    <row r="23" spans="1:13" x14ac:dyDescent="0.25">
      <c r="A23" s="10" t="s">
        <v>31</v>
      </c>
      <c r="B23" s="11" t="s">
        <v>54</v>
      </c>
      <c r="C23" s="12">
        <v>35000</v>
      </c>
      <c r="D23" s="10">
        <v>17</v>
      </c>
      <c r="E23" s="11" t="s">
        <v>28</v>
      </c>
      <c r="F23" s="10" t="s">
        <v>15</v>
      </c>
      <c r="G23" s="10">
        <v>2</v>
      </c>
      <c r="H23" s="11" t="s">
        <v>25</v>
      </c>
      <c r="I23" s="10"/>
      <c r="J23" s="10"/>
      <c r="K23" s="11"/>
      <c r="L23" s="12">
        <f>=C23*D23*IF(G23&gt;0,G23,1)*IF(J23&gt;0,J23,1)</f>
      </c>
      <c r="M23" s="11"/>
    </row>
    <row r="24" spans="1:13" x14ac:dyDescent="0.25">
      <c r="A24" s="10" t="s">
        <v>36</v>
      </c>
      <c r="B24" s="11" t="s">
        <v>55</v>
      </c>
      <c r="C24" s="12">
        <v>200</v>
      </c>
      <c r="D24" s="10">
        <v>17</v>
      </c>
      <c r="E24" s="11" t="s">
        <v>28</v>
      </c>
      <c r="F24" s="10" t="s">
        <v>15</v>
      </c>
      <c r="G24" s="10">
        <v>10</v>
      </c>
      <c r="H24" s="11" t="s">
        <v>56</v>
      </c>
      <c r="I24" s="10" t="s">
        <v>15</v>
      </c>
      <c r="J24" s="10">
        <v>102</v>
      </c>
      <c r="K24" s="11" t="s">
        <v>52</v>
      </c>
      <c r="L24" s="12">
        <f>=C24*D24*IF(G24&gt;0,G24,1)*IF(J24&gt;0,J24,1)</f>
      </c>
      <c r="M24" s="11"/>
    </row>
    <row r="25" spans="1:13" x14ac:dyDescent="0.25">
      <c r="A25" s="10" t="s">
        <v>39</v>
      </c>
      <c r="B25" s="11" t="s">
        <v>57</v>
      </c>
      <c r="C25" s="12">
        <v>30000</v>
      </c>
      <c r="D25" s="10">
        <v>17</v>
      </c>
      <c r="E25" s="11" t="s">
        <v>28</v>
      </c>
      <c r="F25" s="10" t="s">
        <v>15</v>
      </c>
      <c r="G25" s="10">
        <v>4</v>
      </c>
      <c r="H25" s="11" t="s">
        <v>58</v>
      </c>
      <c r="I25" s="10" t="s">
        <v>15</v>
      </c>
      <c r="J25" s="10">
        <v>2</v>
      </c>
      <c r="K25" s="11" t="s">
        <v>33</v>
      </c>
      <c r="L25" s="12">
        <f>=C25*D25*IF(G25&gt;0,G25,1)*IF(J25&gt;0,J25,1)</f>
      </c>
      <c r="M25" s="11"/>
    </row>
    <row r="26" spans="1:13" x14ac:dyDescent="0.25">
      <c r="A26" s="10" t="s">
        <v>42</v>
      </c>
      <c r="B26" s="11" t="s">
        <v>59</v>
      </c>
      <c r="C26" s="12">
        <v>5000</v>
      </c>
      <c r="D26" s="10">
        <v>17</v>
      </c>
      <c r="E26" s="11" t="s">
        <v>28</v>
      </c>
      <c r="F26" s="10" t="s">
        <v>15</v>
      </c>
      <c r="G26" s="10">
        <v>102</v>
      </c>
      <c r="H26" s="11" t="s">
        <v>52</v>
      </c>
      <c r="I26" s="10" t="s">
        <v>15</v>
      </c>
      <c r="J26" s="10">
        <v>2</v>
      </c>
      <c r="K26" s="11" t="s">
        <v>60</v>
      </c>
      <c r="L26" s="12">
        <f>=C26*D26*IF(G26&gt;0,G26,1)*IF(J26&gt;0,J26,1)</f>
      </c>
      <c r="M26" s="11"/>
    </row>
    <row r="27" spans="1:13" x14ac:dyDescent="0.25">
      <c r="A27" s="10" t="s">
        <v>44</v>
      </c>
      <c r="B27" s="11" t="s">
        <v>61</v>
      </c>
      <c r="C27" s="12">
        <v>50000</v>
      </c>
      <c r="D27" s="10">
        <v>17</v>
      </c>
      <c r="E27" s="11" t="s">
        <v>28</v>
      </c>
      <c r="F27" s="10" t="s">
        <v>15</v>
      </c>
      <c r="G27" s="10">
        <v>2</v>
      </c>
      <c r="H27" s="11" t="s">
        <v>60</v>
      </c>
      <c r="I27" s="10"/>
      <c r="J27" s="10"/>
      <c r="K27" s="11"/>
      <c r="L27" s="12">
        <f>=C27*D27*IF(G27&gt;0,G27,1)*IF(J27&gt;0,J27,1)</f>
      </c>
      <c r="M27" s="11"/>
    </row>
    <row r="28" spans="1:13" x14ac:dyDescent="0.25">
      <c r="A28" s="10" t="s">
        <v>47</v>
      </c>
      <c r="B28" s="11" t="s">
        <v>62</v>
      </c>
      <c r="C28" s="12">
        <v>500000</v>
      </c>
      <c r="D28" s="10">
        <v>3</v>
      </c>
      <c r="E28" s="11" t="s">
        <v>33</v>
      </c>
      <c r="F28" s="10" t="s">
        <v>15</v>
      </c>
      <c r="G28" s="10">
        <v>1</v>
      </c>
      <c r="H28" s="11" t="s">
        <v>34</v>
      </c>
      <c r="I28" s="10"/>
      <c r="J28" s="10"/>
      <c r="K28" s="11"/>
      <c r="L28" s="12">
        <f>=C28*D28*IF(G28&gt;0,G28,1)*IF(J28&gt;0,J28,1)</f>
      </c>
      <c r="M28" s="11"/>
    </row>
    <row r="29" spans="1:13" x14ac:dyDescent="0.25">
      <c r="A29" s="10" t="s">
        <v>63</v>
      </c>
      <c r="B29" s="11" t="s">
        <v>64</v>
      </c>
      <c r="C29" s="12">
        <v>50000</v>
      </c>
      <c r="D29" s="10">
        <v>27</v>
      </c>
      <c r="E29" s="11" t="s">
        <v>33</v>
      </c>
      <c r="F29" s="10" t="s">
        <v>15</v>
      </c>
      <c r="G29" s="10">
        <v>1</v>
      </c>
      <c r="H29" s="11" t="s">
        <v>29</v>
      </c>
      <c r="I29" s="10"/>
      <c r="J29" s="10"/>
      <c r="K29" s="11"/>
      <c r="L29" s="12">
        <f>=C29*D29*IF(G29&gt;0,G29,1)*IF(J29&gt;0,J29,1)</f>
      </c>
      <c r="M29" s="11"/>
    </row>
    <row r="30" spans="1:13" x14ac:dyDescent="0.25">
      <c r="A30" s="10" t="s">
        <v>65</v>
      </c>
      <c r="B30" s="11" t="s">
        <v>66</v>
      </c>
      <c r="C30" s="12">
        <v>75000</v>
      </c>
      <c r="D30" s="10">
        <v>9</v>
      </c>
      <c r="E30" s="11" t="s">
        <v>33</v>
      </c>
      <c r="F30" s="10" t="s">
        <v>15</v>
      </c>
      <c r="G30" s="10">
        <v>1</v>
      </c>
      <c r="H30" s="11" t="s">
        <v>34</v>
      </c>
      <c r="I30" s="10" t="s">
        <v>15</v>
      </c>
      <c r="J30" s="10">
        <v>8</v>
      </c>
      <c r="K30" s="11" t="s">
        <v>35</v>
      </c>
      <c r="L30" s="12">
        <f>=C30*D30*IF(G30&gt;0,G30,1)*IF(J30&gt;0,J30,1)</f>
      </c>
      <c r="M30" s="11"/>
    </row>
    <row r="31" spans="1:13" x14ac:dyDescent="0.25">
      <c r="A31" s="10" t="s">
        <v>67</v>
      </c>
      <c r="B31" s="11" t="s">
        <v>68</v>
      </c>
      <c r="C31" s="12">
        <v>10000</v>
      </c>
      <c r="D31" s="10">
        <v>14</v>
      </c>
      <c r="E31" s="11" t="s">
        <v>33</v>
      </c>
      <c r="F31" s="10" t="s">
        <v>15</v>
      </c>
      <c r="G31" s="10">
        <v>12</v>
      </c>
      <c r="H31" s="11" t="s">
        <v>35</v>
      </c>
      <c r="I31" s="10"/>
      <c r="J31" s="10"/>
      <c r="K31" s="11"/>
      <c r="L31" s="12">
        <f>=C31*D31*IF(G31&gt;0,G31,1)*IF(J31&gt;0,J31,1)</f>
      </c>
      <c r="M31" s="11"/>
    </row>
    <row r="32" spans="1:13" x14ac:dyDescent="0.25">
      <c r="A32" s="10" t="s">
        <v>69</v>
      </c>
      <c r="B32" s="11" t="s">
        <v>70</v>
      </c>
      <c r="C32" s="12">
        <v>30000</v>
      </c>
      <c r="D32" s="10">
        <v>27</v>
      </c>
      <c r="E32" s="11" t="s">
        <v>33</v>
      </c>
      <c r="F32" s="10" t="s">
        <v>15</v>
      </c>
      <c r="G32" s="10">
        <v>1</v>
      </c>
      <c r="H32" s="11" t="s">
        <v>34</v>
      </c>
      <c r="I32" s="10"/>
      <c r="J32" s="10"/>
      <c r="K32" s="11"/>
      <c r="L32" s="12">
        <f>=C32*D32*IF(G32&gt;0,G32,1)*IF(J32&gt;0,J32,1)</f>
      </c>
      <c r="M32" s="11"/>
    </row>
    <row r="33" spans="1:13" x14ac:dyDescent="0.25">
      <c r="A33" s="10" t="s">
        <v>71</v>
      </c>
      <c r="B33" s="11" t="s">
        <v>72</v>
      </c>
      <c r="C33" s="12">
        <v>30000</v>
      </c>
      <c r="D33" s="10">
        <v>27</v>
      </c>
      <c r="E33" s="11" t="s">
        <v>33</v>
      </c>
      <c r="F33" s="10" t="s">
        <v>15</v>
      </c>
      <c r="G33" s="10">
        <v>1</v>
      </c>
      <c r="H33" s="11" t="s">
        <v>29</v>
      </c>
      <c r="I33" s="10"/>
      <c r="J33" s="10"/>
      <c r="K33" s="11"/>
      <c r="L33" s="12">
        <f>=C33*D33*IF(G33&gt;0,G33,1)*IF(J33&gt;0,J33,1)</f>
      </c>
      <c r="M33" s="11"/>
    </row>
    <row r="34" spans="1:13" x14ac:dyDescent="0.25">
      <c r="A34" s="10" t="s">
        <v>73</v>
      </c>
      <c r="B34" s="11" t="s">
        <v>74</v>
      </c>
      <c r="C34" s="12">
        <v>30000</v>
      </c>
      <c r="D34" s="10">
        <v>27</v>
      </c>
      <c r="E34" s="11" t="s">
        <v>75</v>
      </c>
      <c r="F34" s="10" t="s">
        <v>15</v>
      </c>
      <c r="G34" s="10">
        <v>1</v>
      </c>
      <c r="H34" s="11" t="s">
        <v>34</v>
      </c>
      <c r="I34" s="10"/>
      <c r="J34" s="10"/>
      <c r="K34" s="11"/>
      <c r="L34" s="12">
        <f>=C34*D34*IF(G34&gt;0,G34,1)*IF(J34&gt;0,J34,1)</f>
      </c>
      <c r="M34" s="11"/>
    </row>
    <row r="35" spans="1:13" x14ac:dyDescent="0.25">
      <c r="A35" s="6" t="s">
        <v>76</v>
      </c>
      <c r="B35" s="7" t="s">
        <v>77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9">
        <f>=SUM(L36:L46)</f>
      </c>
    </row>
    <row r="36" spans="1:13" x14ac:dyDescent="0.25">
      <c r="A36" s="10" t="s">
        <v>22</v>
      </c>
      <c r="B36" s="11" t="s">
        <v>78</v>
      </c>
      <c r="C36" s="12">
        <v>2000</v>
      </c>
      <c r="D36" s="10">
        <v>102</v>
      </c>
      <c r="E36" s="11" t="s">
        <v>33</v>
      </c>
      <c r="F36" s="10" t="s">
        <v>15</v>
      </c>
      <c r="G36" s="10">
        <v>1</v>
      </c>
      <c r="H36" s="11" t="s">
        <v>34</v>
      </c>
      <c r="I36" s="10"/>
      <c r="J36" s="10"/>
      <c r="K36" s="11"/>
      <c r="L36" s="12">
        <f>=C36*D36*IF(G36&gt;0,G36,1)*IF(J36&gt;0,J36,1)</f>
      </c>
      <c r="M36" s="11"/>
    </row>
    <row r="37" spans="1:13" x14ac:dyDescent="0.25">
      <c r="A37" s="10" t="s">
        <v>26</v>
      </c>
      <c r="B37" s="11" t="s">
        <v>79</v>
      </c>
      <c r="C37" s="12">
        <v>2000</v>
      </c>
      <c r="D37" s="10">
        <v>102</v>
      </c>
      <c r="E37" s="11" t="s">
        <v>33</v>
      </c>
      <c r="F37" s="10" t="s">
        <v>15</v>
      </c>
      <c r="G37" s="10">
        <v>1</v>
      </c>
      <c r="H37" s="11" t="s">
        <v>34</v>
      </c>
      <c r="I37" s="10"/>
      <c r="J37" s="10"/>
      <c r="K37" s="11"/>
      <c r="L37" s="12">
        <f>=C37*D37*IF(G37&gt;0,G37,1)*IF(J37&gt;0,J37,1)</f>
      </c>
      <c r="M37" s="11"/>
    </row>
    <row r="38" spans="1:13" x14ac:dyDescent="0.25">
      <c r="A38" s="10" t="s">
        <v>31</v>
      </c>
      <c r="B38" s="11" t="s">
        <v>80</v>
      </c>
      <c r="C38" s="12">
        <v>75000</v>
      </c>
      <c r="D38" s="10">
        <v>2</v>
      </c>
      <c r="E38" s="11" t="s">
        <v>81</v>
      </c>
      <c r="F38" s="10" t="s">
        <v>15</v>
      </c>
      <c r="G38" s="10">
        <v>1</v>
      </c>
      <c r="H38" s="11" t="s">
        <v>34</v>
      </c>
      <c r="I38" s="10"/>
      <c r="J38" s="10"/>
      <c r="K38" s="11"/>
      <c r="L38" s="12">
        <f>=C38*D38*IF(G38&gt;0,G38,1)*IF(J38&gt;0,J38,1)</f>
      </c>
      <c r="M38" s="11"/>
    </row>
    <row r="39" spans="1:13" x14ac:dyDescent="0.25">
      <c r="A39" s="10" t="s">
        <v>36</v>
      </c>
      <c r="B39" s="11" t="s">
        <v>82</v>
      </c>
      <c r="C39" s="12">
        <v>150000</v>
      </c>
      <c r="D39" s="10">
        <v>1</v>
      </c>
      <c r="E39" s="11" t="s">
        <v>24</v>
      </c>
      <c r="F39" s="10" t="s">
        <v>15</v>
      </c>
      <c r="G39" s="10">
        <v>1</v>
      </c>
      <c r="H39" s="11" t="s">
        <v>34</v>
      </c>
      <c r="I39" s="10"/>
      <c r="J39" s="10"/>
      <c r="K39" s="11"/>
      <c r="L39" s="12">
        <f>=C39*D39*IF(G39&gt;0,G39,1)*IF(J39&gt;0,J39,1)</f>
      </c>
      <c r="M39" s="11"/>
    </row>
    <row r="40" spans="1:13" x14ac:dyDescent="0.25">
      <c r="A40" s="10" t="s">
        <v>39</v>
      </c>
      <c r="B40" s="11" t="s">
        <v>83</v>
      </c>
      <c r="C40" s="12">
        <v>10000</v>
      </c>
      <c r="D40" s="10">
        <v>102</v>
      </c>
      <c r="E40" s="11" t="s">
        <v>52</v>
      </c>
      <c r="F40" s="10" t="s">
        <v>15</v>
      </c>
      <c r="G40" s="10">
        <v>1</v>
      </c>
      <c r="H40" s="11" t="s">
        <v>34</v>
      </c>
      <c r="I40" s="10"/>
      <c r="J40" s="10"/>
      <c r="K40" s="11"/>
      <c r="L40" s="12">
        <f>=C40*D40*IF(G40&gt;0,G40,1)*IF(J40&gt;0,J40,1)</f>
      </c>
      <c r="M40" s="11"/>
    </row>
    <row r="41" spans="1:13" x14ac:dyDescent="0.25">
      <c r="A41" s="10" t="s">
        <v>42</v>
      </c>
      <c r="B41" s="11" t="s">
        <v>84</v>
      </c>
      <c r="C41" s="12">
        <v>25000</v>
      </c>
      <c r="D41" s="10">
        <v>102</v>
      </c>
      <c r="E41" s="11" t="s">
        <v>52</v>
      </c>
      <c r="F41" s="10" t="s">
        <v>15</v>
      </c>
      <c r="G41" s="10">
        <v>1</v>
      </c>
      <c r="H41" s="11" t="s">
        <v>34</v>
      </c>
      <c r="I41" s="10"/>
      <c r="J41" s="10"/>
      <c r="K41" s="11"/>
      <c r="L41" s="12">
        <f>=C41*D41*IF(G41&gt;0,G41,1)*IF(J41&gt;0,J41,1)</f>
      </c>
      <c r="M41" s="11"/>
    </row>
    <row r="42" spans="1:13" x14ac:dyDescent="0.25">
      <c r="A42" s="10" t="s">
        <v>44</v>
      </c>
      <c r="B42" s="11" t="s">
        <v>85</v>
      </c>
      <c r="C42" s="12">
        <v>30000</v>
      </c>
      <c r="D42" s="10">
        <v>102</v>
      </c>
      <c r="E42" s="11" t="s">
        <v>52</v>
      </c>
      <c r="F42" s="10" t="s">
        <v>15</v>
      </c>
      <c r="G42" s="10">
        <v>1</v>
      </c>
      <c r="H42" s="11" t="s">
        <v>34</v>
      </c>
      <c r="I42" s="10"/>
      <c r="J42" s="10"/>
      <c r="K42" s="11"/>
      <c r="L42" s="12">
        <f>=C42*D42*IF(G42&gt;0,G42,1)*IF(J42&gt;0,J42,1)</f>
      </c>
      <c r="M42" s="11"/>
    </row>
    <row r="43" spans="1:13" x14ac:dyDescent="0.25">
      <c r="A43" s="10" t="s">
        <v>47</v>
      </c>
      <c r="B43" s="11" t="s">
        <v>86</v>
      </c>
      <c r="C43" s="12">
        <v>25000</v>
      </c>
      <c r="D43" s="10">
        <v>102</v>
      </c>
      <c r="E43" s="11" t="s">
        <v>52</v>
      </c>
      <c r="F43" s="10" t="s">
        <v>15</v>
      </c>
      <c r="G43" s="10">
        <v>1</v>
      </c>
      <c r="H43" s="11" t="s">
        <v>34</v>
      </c>
      <c r="I43" s="10"/>
      <c r="J43" s="10"/>
      <c r="K43" s="11"/>
      <c r="L43" s="12">
        <f>=C43*D43*IF(G43&gt;0,G43,1)*IF(J43&gt;0,J43,1)</f>
      </c>
      <c r="M43" s="11"/>
    </row>
    <row r="44" spans="1:13" x14ac:dyDescent="0.25">
      <c r="A44" s="10" t="s">
        <v>63</v>
      </c>
      <c r="B44" s="11" t="s">
        <v>87</v>
      </c>
      <c r="C44" s="12">
        <v>3000</v>
      </c>
      <c r="D44" s="10">
        <v>102</v>
      </c>
      <c r="E44" s="11" t="s">
        <v>24</v>
      </c>
      <c r="F44" s="10"/>
      <c r="G44" s="10"/>
      <c r="H44" s="11"/>
      <c r="I44" s="10"/>
      <c r="J44" s="10"/>
      <c r="K44" s="11"/>
      <c r="L44" s="12">
        <f>=C44*D44*IF(G44&gt;0,G44,1)*IF(J44&gt;0,J44,1)</f>
      </c>
      <c r="M44" s="11"/>
    </row>
    <row r="45" spans="1:13" x14ac:dyDescent="0.25">
      <c r="A45" s="10" t="s">
        <v>65</v>
      </c>
      <c r="B45" s="11" t="s">
        <v>88</v>
      </c>
      <c r="C45" s="12">
        <v>500000</v>
      </c>
      <c r="D45" s="10">
        <v>1</v>
      </c>
      <c r="E45" s="11" t="s">
        <v>33</v>
      </c>
      <c r="F45" s="10" t="s">
        <v>15</v>
      </c>
      <c r="G45" s="10">
        <v>1</v>
      </c>
      <c r="H45" s="11" t="s">
        <v>34</v>
      </c>
      <c r="I45" s="10"/>
      <c r="J45" s="10"/>
      <c r="K45" s="11"/>
      <c r="L45" s="12">
        <f>=C45*D45*IF(G45&gt;0,G45,1)*IF(J45&gt;0,J45,1)</f>
      </c>
      <c r="M45" s="11"/>
    </row>
    <row r="46" spans="1:13" x14ac:dyDescent="0.25">
      <c r="A46" s="10" t="s">
        <v>89</v>
      </c>
      <c r="B46" s="11" t="s">
        <v>90</v>
      </c>
      <c r="C46" s="12">
        <v>60000</v>
      </c>
      <c r="D46" s="10">
        <v>1</v>
      </c>
      <c r="E46" s="11" t="s">
        <v>34</v>
      </c>
      <c r="F46" s="10"/>
      <c r="G46" s="10"/>
      <c r="H46" s="11"/>
      <c r="I46" s="10"/>
      <c r="J46" s="10"/>
      <c r="K46" s="11"/>
      <c r="L46" s="12">
        <f>=C46*D46*IF(G46&gt;0,G46,1)*IF(J46&gt;0,J46,1)</f>
      </c>
      <c r="M46" s="11"/>
    </row>
    <row r="47" spans="1:13" x14ac:dyDescent="0.25">
      <c r="A47" s="6" t="s">
        <v>91</v>
      </c>
      <c r="B47" s="7" t="s">
        <v>92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9">
        <f>=SUM(L48:L49)</f>
      </c>
    </row>
    <row r="48" spans="1:13" x14ac:dyDescent="0.25">
      <c r="A48" s="10" t="s">
        <v>22</v>
      </c>
      <c r="B48" s="11" t="s">
        <v>93</v>
      </c>
      <c r="C48" s="12">
        <v>5000</v>
      </c>
      <c r="D48" s="10">
        <v>102</v>
      </c>
      <c r="E48" s="11" t="s">
        <v>52</v>
      </c>
      <c r="F48" s="10" t="s">
        <v>15</v>
      </c>
      <c r="G48" s="10">
        <v>1</v>
      </c>
      <c r="H48" s="11" t="s">
        <v>34</v>
      </c>
      <c r="I48" s="10"/>
      <c r="J48" s="10"/>
      <c r="K48" s="11"/>
      <c r="L48" s="12">
        <f>=C48*D48*IF(G48&gt;0,G48,1)*IF(J48&gt;0,J48,1)</f>
      </c>
      <c r="M48" s="11"/>
    </row>
    <row r="49" spans="1:13" x14ac:dyDescent="0.25">
      <c r="A49" s="10" t="s">
        <v>26</v>
      </c>
      <c r="B49" s="11" t="s">
        <v>94</v>
      </c>
      <c r="C49" s="12">
        <v>30000</v>
      </c>
      <c r="D49" s="10">
        <v>102</v>
      </c>
      <c r="E49" s="11" t="s">
        <v>52</v>
      </c>
      <c r="F49" s="10" t="s">
        <v>15</v>
      </c>
      <c r="G49" s="10">
        <v>1</v>
      </c>
      <c r="H49" s="11" t="s">
        <v>34</v>
      </c>
      <c r="I49" s="10"/>
      <c r="J49" s="10"/>
      <c r="K49" s="11"/>
      <c r="L49" s="12">
        <f>=C49*D49*IF(G49&gt;0,G49,1)*IF(J49&gt;0,J49,1)</f>
      </c>
      <c r="M49" s="11"/>
    </row>
    <row r="50" spans="1:13" x14ac:dyDescent="0.25">
      <c r="A50" s="13" t="s">
        <v>95</v>
      </c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4">
        <f>=M11+M20+M35+M47</f>
      </c>
      <c r="M50" s="15"/>
    </row>
  </sheetData>
  <mergeCells count="9">
    <mergeCell ref="A2:M2"/>
    <mergeCell ref="A3:M3"/>
    <mergeCell ref="D9:K9"/>
    <mergeCell ref="A9:A10"/>
    <mergeCell ref="B9:B10"/>
    <mergeCell ref="C9:C10"/>
    <mergeCell ref="L9:L10"/>
    <mergeCell ref="M9:M10"/>
    <mergeCell ref="A50:K50"/>
  </mergeCells>
  <pageMargins left="0.7" right="0.7" top="0.75" bottom="0.75" header="0.3" footer="0.3"/>
  <pageSetup paperSize="9"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Pengajuan Anggaran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Yayasan Pendidikan Islam Pondok Pesantren Al-Qur'aniyyah</dc:creator>
  <dc:title/>
  <dc:subject/>
  <dc:description/>
  <cp:keywords/>
  <cp:category/>
  <cp:lastModifiedBy>Unknown</cp:lastModifiedBy>
  <dcterms:created xsi:type="dcterms:W3CDTF">2026-10-28T07:56:03Z</dcterms:created>
  <dcterms:modified xsi:type="dcterms:W3CDTF">2026-10-28T07:56:03Z</dcterms:modified>
</cp:coreProperties>
</file>